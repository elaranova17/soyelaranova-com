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 Mayo 2026" sheetId="1" state="visible" r:id="rId3"/>
    <sheet name="Hashtags y voces" sheetId="2" state="visible" r:id="rId4"/>
    <sheet name="Tracking métric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<sst xmlns="http://schemas.openxmlformats.org/spreadsheetml/2006/main" count="428" uniqueCount="234">
  <si>
    <t xml:space="preserve">🌙 CALENDARIO EDITORIAL · MAYO 2026 · ELARA NOVA</t>
  </si>
  <si>
    <t xml:space="preserve">3 pilares activos · 6-9 piezas/semana · Validado contra filtros TDAH+Místico+Voz Sagrada</t>
  </si>
  <si>
    <t xml:space="preserve">Día</t>
  </si>
  <si>
    <t xml:space="preserve">Fecha</t>
  </si>
  <si>
    <t xml:space="preserve">Pilar</t>
  </si>
  <si>
    <t xml:space="preserve">Formato</t>
  </si>
  <si>
    <t xml:space="preserve">Personaje</t>
  </si>
  <si>
    <t xml:space="preserve">Nivel visual</t>
  </si>
  <si>
    <t xml:space="preserve">Hook (3 seg)</t>
  </si>
  <si>
    <t xml:space="preserve">CTA</t>
  </si>
  <si>
    <t xml:space="preserve">Notas</t>
  </si>
  <si>
    <t xml:space="preserve">Vie 1</t>
  </si>
  <si>
    <t xml:space="preserve">01-may</t>
  </si>
  <si>
    <t xml:space="preserve">Espiritualidad</t>
  </si>
  <si>
    <t xml:space="preserve">Reel slow outfit</t>
  </si>
  <si>
    <t xml:space="preserve">Elara real</t>
  </si>
  <si>
    <t xml:space="preserve">Real</t>
  </si>
  <si>
    <t xml:space="preserve">"Vestirme bien para mí."</t>
  </si>
  <si>
    <t xml:space="preserve">Sigue · DM "Círculo"</t>
  </si>
  <si>
    <t xml:space="preserve">Audio: Messy - Lola Young</t>
  </si>
  <si>
    <t xml:space="preserve">Sáb 2</t>
  </si>
  <si>
    <t xml:space="preserve">02-may</t>
  </si>
  <si>
    <t xml:space="preserve">Cocina (alma)</t>
  </si>
  <si>
    <t xml:space="preserve">Reel personaje</t>
  </si>
  <si>
    <t xml:space="preserve">Olla</t>
  </si>
  <si>
    <t xml:space="preserve">Pixar</t>
  </si>
  <si>
    <t xml:space="preserve">"¡Aquí no se cocina con prisa!"</t>
  </si>
  <si>
    <t xml:space="preserve">Sigue</t>
  </si>
  <si>
    <t xml:space="preserve">Pilar suave secundario</t>
  </si>
  <si>
    <t xml:space="preserve">Dom 3</t>
  </si>
  <si>
    <t xml:space="preserve">03-may</t>
  </si>
  <si>
    <t xml:space="preserve">Viral</t>
  </si>
  <si>
    <t xml:space="preserve">Reel cierre semana</t>
  </si>
  <si>
    <t xml:space="preserve">Los 6 juntos</t>
  </si>
  <si>
    <t xml:space="preserve">"Y resulta que ya estaba pasando."</t>
  </si>
  <si>
    <t xml:space="preserve">Sigue + lead magnet</t>
  </si>
  <si>
    <t xml:space="preserve">Cierre semana fundadora</t>
  </si>
  <si>
    <t xml:space="preserve">Lun 4</t>
  </si>
  <si>
    <t xml:space="preserve">04-may</t>
  </si>
  <si>
    <t xml:space="preserve">Reinvención</t>
  </si>
  <si>
    <t xml:space="preserve">Carrusel 7 slides</t>
  </si>
  <si>
    <t xml:space="preserve">Vela + Elara</t>
  </si>
  <si>
    <t xml:space="preserve">Híbrido</t>
  </si>
  <si>
    <t xml:space="preserve">"5 cosas que dejé de pedirle a la vida."</t>
  </si>
  <si>
    <t xml:space="preserve">Comenta cuál te dolió</t>
  </si>
  <si>
    <t xml:space="preserve">Caption messy largo</t>
  </si>
  <si>
    <t xml:space="preserve">Mar 5</t>
  </si>
  <si>
    <t xml:space="preserve">05-may</t>
  </si>
  <si>
    <t xml:space="preserve">Reel tarot 12s</t>
  </si>
  <si>
    <t xml:space="preserve">Carta</t>
  </si>
  <si>
    <t xml:space="preserve">"Mira. La señal ya llegó tres veces."</t>
  </si>
  <si>
    <t xml:space="preserve">Pilar fuerte</t>
  </si>
  <si>
    <t xml:space="preserve">Mie 6</t>
  </si>
  <si>
    <t xml:space="preserve">06-may</t>
  </si>
  <si>
    <t xml:space="preserve">Story serie + post</t>
  </si>
  <si>
    <t xml:space="preserve">Elara perfil</t>
  </si>
  <si>
    <t xml:space="preserve">"Resulta que el silencio sí dolía."</t>
  </si>
  <si>
    <t xml:space="preserve">DM "Silencio"</t>
  </si>
  <si>
    <t xml:space="preserve">Story 3 frames</t>
  </si>
  <si>
    <t xml:space="preserve">Jue 7</t>
  </si>
  <si>
    <t xml:space="preserve">07-may</t>
  </si>
  <si>
    <t xml:space="preserve">Reel 15s POV</t>
  </si>
  <si>
    <t xml:space="preserve">"POV: ya no persigues a nadie."</t>
  </si>
  <si>
    <t xml:space="preserve">Formato POV emocional</t>
  </si>
  <si>
    <t xml:space="preserve">Vie 8</t>
  </si>
  <si>
    <t xml:space="preserve">08-may</t>
  </si>
  <si>
    <t xml:space="preserve">Reel ritual express</t>
  </si>
  <si>
    <t xml:space="preserve">Vela</t>
  </si>
  <si>
    <t xml:space="preserve">"5 minutos. Una vela. Una intención."</t>
  </si>
  <si>
    <t xml:space="preserve">Guarda</t>
  </si>
  <si>
    <t xml:space="preserve">Ritual luna nueva mayo</t>
  </si>
  <si>
    <t xml:space="preserve">Sáb 9</t>
  </si>
  <si>
    <t xml:space="preserve">09-may</t>
  </si>
  <si>
    <t xml:space="preserve">(descanso)</t>
  </si>
  <si>
    <t xml:space="preserve">Solo stories</t>
  </si>
  <si>
    <t xml:space="preserve">-</t>
  </si>
  <si>
    <t xml:space="preserve">Día de respiro</t>
  </si>
  <si>
    <t xml:space="preserve">Dom 10</t>
  </si>
  <si>
    <t xml:space="preserve">10-may</t>
  </si>
  <si>
    <t xml:space="preserve">Reel 30s admisión</t>
  </si>
  <si>
    <t xml:space="preserve">"La verdad es que hoy no quería levantarme."</t>
  </si>
  <si>
    <t xml:space="preserve">Vulnerable real</t>
  </si>
  <si>
    <t xml:space="preserve">Lun 11</t>
  </si>
  <si>
    <t xml:space="preserve">11-may</t>
  </si>
  <si>
    <t xml:space="preserve">Carrusel 5 slides</t>
  </si>
  <si>
    <t xml:space="preserve">Tapete + Elara</t>
  </si>
  <si>
    <t xml:space="preserve">"Tu cuerpo no necesita rutina."</t>
  </si>
  <si>
    <t xml:space="preserve">Save</t>
  </si>
  <si>
    <t xml:space="preserve">Bullet points cortos</t>
  </si>
  <si>
    <t xml:space="preserve">Mar 12</t>
  </si>
  <si>
    <t xml:space="preserve">12-may</t>
  </si>
  <si>
    <t xml:space="preserve">Reel numerología</t>
  </si>
  <si>
    <t xml:space="preserve">"Tu camino de vida en 1 minuto."</t>
  </si>
  <si>
    <t xml:space="preserve">DM tu fecha</t>
  </si>
  <si>
    <t xml:space="preserve">Trigger interacción</t>
  </si>
  <si>
    <t xml:space="preserve">Mie 13</t>
  </si>
  <si>
    <t xml:space="preserve">13-may</t>
  </si>
  <si>
    <t xml:space="preserve">Marca</t>
  </si>
  <si>
    <t xml:space="preserve">Reel teaser ebook</t>
  </si>
  <si>
    <t xml:space="preserve">"Algo se cocina aquí en mayo."</t>
  </si>
  <si>
    <t xml:space="preserve">Sigue · pre-venta 15</t>
  </si>
  <si>
    <t xml:space="preserve">Calentar pre-venta</t>
  </si>
  <si>
    <t xml:space="preserve">Jue 14</t>
  </si>
  <si>
    <t xml:space="preserve">14-may</t>
  </si>
  <si>
    <t xml:space="preserve">Reel 7s lista</t>
  </si>
  <si>
    <t xml:space="preserve">"3 señales que estás en modo reinvención."</t>
  </si>
  <si>
    <t xml:space="preserve">Comenta cuál</t>
  </si>
  <si>
    <t xml:space="preserve">Lista corta</t>
  </si>
  <si>
    <t xml:space="preserve">Vie 15</t>
  </si>
  <si>
    <t xml:space="preserve">15-may</t>
  </si>
  <si>
    <t xml:space="preserve">PRE-VENTA</t>
  </si>
  <si>
    <t xml:space="preserve">Reel anuncio + post</t>
  </si>
  <si>
    <t xml:space="preserve">"Hoy abre la pre-venta."</t>
  </si>
  <si>
    <t xml:space="preserve">Link bio</t>
  </si>
  <si>
    <t xml:space="preserve">🚀 PRE-VENTA EBOOK</t>
  </si>
  <si>
    <t xml:space="preserve">Sáb 16</t>
  </si>
  <si>
    <t xml:space="preserve">16-may</t>
  </si>
  <si>
    <t xml:space="preserve">Story serie tarot</t>
  </si>
  <si>
    <t xml:space="preserve">"Pregunta a la Carta."</t>
  </si>
  <si>
    <t xml:space="preserve">DM tu pregunta</t>
  </si>
  <si>
    <t xml:space="preserve">Stories interactivas</t>
  </si>
  <si>
    <t xml:space="preserve">Dom 17</t>
  </si>
  <si>
    <t xml:space="preserve">17-may</t>
  </si>
  <si>
    <t xml:space="preserve">Reel testimonio mock</t>
  </si>
  <si>
    <t xml:space="preserve">"3 mujeres me escribieron algo que me partió."</t>
  </si>
  <si>
    <t xml:space="preserve">Sin testimonios reales aún - parafraseamos</t>
  </si>
  <si>
    <t xml:space="preserve">Lun 18</t>
  </si>
  <si>
    <t xml:space="preserve">18-may</t>
  </si>
  <si>
    <t xml:space="preserve">Carrusel celibato</t>
  </si>
  <si>
    <t xml:space="preserve">Tapete</t>
  </si>
  <si>
    <t xml:space="preserve">"6 meses sin sexo. Lo que pasó."</t>
  </si>
  <si>
    <t xml:space="preserve">DM "Celibato"</t>
  </si>
  <si>
    <t xml:space="preserve">Tema fuerte engagement</t>
  </si>
  <si>
    <t xml:space="preserve">Mar 19</t>
  </si>
  <si>
    <t xml:space="preserve">19-may</t>
  </si>
  <si>
    <t xml:space="preserve">Reel ritual</t>
  </si>
  <si>
    <t xml:space="preserve">"Para soltar lo que no soltaste antes."</t>
  </si>
  <si>
    <t xml:space="preserve">Luna creciente</t>
  </si>
  <si>
    <t xml:space="preserve">Mie 20</t>
  </si>
  <si>
    <t xml:space="preserve">20-may</t>
  </si>
  <si>
    <t xml:space="preserve">Reel detrás cámara</t>
  </si>
  <si>
    <t xml:space="preserve">Manos Evelyn</t>
  </si>
  <si>
    <t xml:space="preserve">"Cómo escribo el ebook real."</t>
  </si>
  <si>
    <t xml:space="preserve">Behind the scenes</t>
  </si>
  <si>
    <t xml:space="preserve">Jue 21</t>
  </si>
  <si>
    <t xml:space="preserve">21-may</t>
  </si>
  <si>
    <t xml:space="preserve">"POV: ya no eres la mujer que él recuerda."</t>
  </si>
  <si>
    <t xml:space="preserve">POV emocional</t>
  </si>
  <si>
    <t xml:space="preserve">Vie 22</t>
  </si>
  <si>
    <t xml:space="preserve">22-may</t>
  </si>
  <si>
    <t xml:space="preserve">Reel afirmación</t>
  </si>
  <si>
    <t xml:space="preserve">"Yo Soy. Repítelo 7 veces."</t>
  </si>
  <si>
    <t xml:space="preserve">Decreto Yo Soy</t>
  </si>
  <si>
    <t xml:space="preserve">Sáb 23</t>
  </si>
  <si>
    <t xml:space="preserve">23-may</t>
  </si>
  <si>
    <t xml:space="preserve">Dom 24</t>
  </si>
  <si>
    <t xml:space="preserve">24-may</t>
  </si>
  <si>
    <t xml:space="preserve">Reel 30s mini-historia</t>
  </si>
  <si>
    <t xml:space="preserve">"Hace un año pensé que no iba a poder."</t>
  </si>
  <si>
    <t xml:space="preserve">Transformación 1 año</t>
  </si>
  <si>
    <t xml:space="preserve">Lun 25</t>
  </si>
  <si>
    <t xml:space="preserve">25-may</t>
  </si>
  <si>
    <t xml:space="preserve">Carrusel red flags</t>
  </si>
  <si>
    <t xml:space="preserve">Celular</t>
  </si>
  <si>
    <t xml:space="preserve">"7 red flags que ignoré por 4 años."</t>
  </si>
  <si>
    <t xml:space="preserve">DM "Red Flags"</t>
  </si>
  <si>
    <t xml:space="preserve">Tema viral</t>
  </si>
  <si>
    <t xml:space="preserve">Mar 26</t>
  </si>
  <si>
    <t xml:space="preserve">26-may</t>
  </si>
  <si>
    <t xml:space="preserve">Reel feng shui casa</t>
  </si>
  <si>
    <t xml:space="preserve">Olla + Tapete</t>
  </si>
  <si>
    <t xml:space="preserve">"Una sola cosa para mover energía hoy."</t>
  </si>
  <si>
    <t xml:space="preserve">Ritual de casa</t>
  </si>
  <si>
    <t xml:space="preserve">Mie 27</t>
  </si>
  <si>
    <t xml:space="preserve">27-may</t>
  </si>
  <si>
    <t xml:space="preserve">Reel countdown ebook</t>
  </si>
  <si>
    <t xml:space="preserve">"5 días para que llegue."</t>
  </si>
  <si>
    <t xml:space="preserve">Recordar pre-venta</t>
  </si>
  <si>
    <t xml:space="preserve">Jue 28</t>
  </si>
  <si>
    <t xml:space="preserve">28-may</t>
  </si>
  <si>
    <t xml:space="preserve">Reel 10s mantra</t>
  </si>
  <si>
    <t xml:space="preserve">"Mira todo lo que siempre fuiste capaz de ser."</t>
  </si>
  <si>
    <t xml:space="preserve">Manifiesto puro</t>
  </si>
  <si>
    <t xml:space="preserve">Vie 29</t>
  </si>
  <si>
    <t xml:space="preserve">29-may</t>
  </si>
  <si>
    <t xml:space="preserve">Reel ritual cierre</t>
  </si>
  <si>
    <t xml:space="preserve">"Cómo cerrar mayo bien."</t>
  </si>
  <si>
    <t xml:space="preserve">Luna llena Sagitario</t>
  </si>
  <si>
    <t xml:space="preserve">Sáb 30</t>
  </si>
  <si>
    <t xml:space="preserve">30-may</t>
  </si>
  <si>
    <t xml:space="preserve">Reel testimonio</t>
  </si>
  <si>
    <t xml:space="preserve">"La primera mujer que compró el ebook me escribió."</t>
  </si>
  <si>
    <t xml:space="preserve">Build hype para 1 jun</t>
  </si>
  <si>
    <t xml:space="preserve">Dom 31</t>
  </si>
  <si>
    <t xml:space="preserve">31-may</t>
  </si>
  <si>
    <t xml:space="preserve">Reel cierre mes</t>
  </si>
  <si>
    <t xml:space="preserve">"Mayo. La verdad."</t>
  </si>
  <si>
    <t xml:space="preserve">Sigue + ebook 1 jun</t>
  </si>
  <si>
    <t xml:space="preserve">Pre-final pre-lanzamiento</t>
  </si>
  <si>
    <t xml:space="preserve">RESUMEN DEL MES</t>
  </si>
  <si>
    <t xml:space="preserve">Marca/PRE-VENTA</t>
  </si>
  <si>
    <t xml:space="preserve">TOTAL piezas</t>
  </si>
  <si>
    <t xml:space="preserve">Cumple meta 6-9/sem (24-36 mes):</t>
  </si>
  <si>
    <t xml:space="preserve">🌙 HASHTAGS Y VOCES POR PILAR</t>
  </si>
  <si>
    <t xml:space="preserve">Hashtags permitidos (3-5 max/post)</t>
  </si>
  <si>
    <t xml:space="preserve">Voz / personaje líder</t>
  </si>
  <si>
    <t xml:space="preserve">#reinvencionfemenina #mujerenproceso #hermanamayor #amorpropioreal #dejardepedir</t>
  </si>
  <si>
    <t xml:space="preserve">Vela (cansada-amorosa) o Elara</t>
  </si>
  <si>
    <t xml:space="preserve">#tarotlatino #manifestacionreal #misticismoaccesible #señalesdeluniverso #luna #rituallatino</t>
  </si>
  <si>
    <t xml:space="preserve">Carta del Tarot (sabia-paciente)</t>
  </si>
  <si>
    <t xml:space="preserve">Cuerpo/cuidado</t>
  </si>
  <si>
    <t xml:space="preserve">#cuerpoconsciente #nomasdisciplina #mujerencasa</t>
  </si>
  <si>
    <t xml:space="preserve">Tapete (dramático-quejumbroso)</t>
  </si>
  <si>
    <t xml:space="preserve">Cocina/raíz</t>
  </si>
  <si>
    <t xml:space="preserve">#cocinacolombiana #raiceslatinas #sancochoeshogar</t>
  </si>
  <si>
    <t xml:space="preserve">Olla colombiana (festiva-orgullosa)</t>
  </si>
  <si>
    <t xml:space="preserve">Tecnología/digital</t>
  </si>
  <si>
    <t xml:space="preserve">#digitalconsciente #soltarelteléfono #celularenmodoavión</t>
  </si>
  <si>
    <t xml:space="preserve">Celular (agotado-sarcástico)</t>
  </si>
  <si>
    <t xml:space="preserve">Marca general</t>
  </si>
  <si>
    <t xml:space="preserve">#elaranova #siemprefuiste #loquequepudistehacer</t>
  </si>
  <si>
    <t xml:space="preserve">EVITAR</t>
  </si>
  <si>
    <t xml:space="preserve">#manifestación (50M saturados) · #witchy · #spiritualawakening · #empoderamiento · #girlboss · #diosa · #guerrera</t>
  </si>
  <si>
    <t xml:space="preserve">No usar</t>
  </si>
  <si>
    <t xml:space="preserve">🌙 TRACKING MÉTRICAS · MAYO</t>
  </si>
  <si>
    <t xml:space="preserve">Tipo</t>
  </si>
  <si>
    <t xml:space="preserve">Reach</t>
  </si>
  <si>
    <t xml:space="preserve">Likes</t>
  </si>
  <si>
    <t xml:space="preserve">Comentarios</t>
  </si>
  <si>
    <t xml:space="preserve">Saves</t>
  </si>
  <si>
    <t xml:space="preserve">Tasa engagement (%)</t>
  </si>
  <si>
    <t xml:space="preserve">PROMEDIOS DEL MES</t>
  </si>
  <si>
    <t xml:space="preserve">Reach promedio</t>
  </si>
  <si>
    <t xml:space="preserve">Engagement promedio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</si>
</sst>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0F3D"/>
      <name val="Arial"/>
      <family val="0"/>
      <charset val="1"/>
    </font>
    <font>
      <i val="true"/>
      <sz val="10"/>
      <color rgb="FF7A458F"/>
      <name val="Arial"/>
      <family val="0"/>
      <charset val="1"/>
    </font>
    <font>
      <b val="true"/>
      <sz val="11"/>
      <color rgb="FFD4AF37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A0F3D"/>
      <name val="Cambria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0F3D"/>
        <bgColor rgb="FF000000"/>
      </patternFill>
    </fill>
    <fill>
      <patternFill patternType="solid">
        <fgColor rgb="FFC9B6D9"/>
        <bgColor rgb="FFCCCCFF"/>
      </patternFill>
    </fill>
    <fill>
      <patternFill patternType="solid">
        <fgColor rgb="FFF5EEF8"/>
        <bgColor rgb="FFF0E5D0"/>
      </patternFill>
    </fill>
    <fill>
      <patternFill patternType="solid">
        <fgColor rgb="FFF5D16B"/>
        <bgColor rgb="FFF7CAC9"/>
      </patternFill>
    </fill>
    <fill>
      <patternFill patternType="solid">
        <fgColor rgb="FFF0E5D0"/>
        <bgColor rgb="FFF5EEF8"/>
      </patternFill>
    </fill>
    <fill>
      <patternFill patternType="solid">
        <fgColor rgb="FFF7CAC9"/>
        <bgColor rgb="FFF0E5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AF37"/>
      </left>
      <right style="thin">
        <color rgb="FFD4AF37"/>
      </right>
      <top style="thin">
        <color rgb="FFD4AF37"/>
      </top>
      <bottom style="thin">
        <color rgb="FFD4AF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EE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0F3D"/>
      <rgbColor rgb="FF808000"/>
      <rgbColor rgb="FF800080"/>
      <rgbColor rgb="FF008080"/>
      <rgbColor rgb="FFC9B6D9"/>
      <rgbColor rgb="FF808080"/>
      <rgbColor rgb="FF9999FF"/>
      <rgbColor rgb="FF7A458F"/>
      <rgbColor rgb="FFF0E5D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CAC9"/>
      <rgbColor rgb="FF3366FF"/>
      <rgbColor rgb="FF33CCCC"/>
      <rgbColor rgb="FF99CC00"/>
      <rgbColor rgb="FFF5D16B"/>
      <rgbColor rgb="FFD4AF3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42"/>
    <col collapsed="false" customWidth="true" hidden="false" outlineLevel="0" max="8" min="8" style="0" width="24"/>
    <col collapsed="false" customWidth="true" hidden="false" outlineLevel="0" max="9" min="9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15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25</v>
      </c>
      <c r="G6" s="5" t="s">
        <v>26</v>
      </c>
      <c r="H6" s="5" t="s">
        <v>27</v>
      </c>
      <c r="I6" s="5" t="s">
        <v>28</v>
      </c>
    </row>
    <row r="7" customFormat="false" ht="15" hidden="false" customHeight="false" outlineLevel="0" collapsed="false">
      <c r="A7" s="6" t="s">
        <v>29</v>
      </c>
      <c r="B7" s="6" t="s">
        <v>30</v>
      </c>
      <c r="C7" s="6" t="s">
        <v>31</v>
      </c>
      <c r="D7" s="6" t="s">
        <v>32</v>
      </c>
      <c r="E7" s="6" t="s">
        <v>33</v>
      </c>
      <c r="F7" s="6" t="s">
        <v>25</v>
      </c>
      <c r="G7" s="6" t="s">
        <v>34</v>
      </c>
      <c r="H7" s="6" t="s">
        <v>35</v>
      </c>
      <c r="I7" s="6" t="s">
        <v>36</v>
      </c>
    </row>
    <row r="8" customFormat="false" ht="15" hidden="false" customHeight="false" outlineLevel="0" collapsed="false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7" t="s">
        <v>44</v>
      </c>
      <c r="I8" s="7" t="s">
        <v>45</v>
      </c>
    </row>
    <row r="9" customFormat="false" ht="15" hidden="false" customHeight="false" outlineLevel="0" collapsed="false">
      <c r="A9" s="4" t="s">
        <v>46</v>
      </c>
      <c r="B9" s="4" t="s">
        <v>47</v>
      </c>
      <c r="C9" s="4" t="s">
        <v>13</v>
      </c>
      <c r="D9" s="4" t="s">
        <v>48</v>
      </c>
      <c r="E9" s="4" t="s">
        <v>49</v>
      </c>
      <c r="F9" s="4" t="s">
        <v>25</v>
      </c>
      <c r="G9" s="4" t="s">
        <v>50</v>
      </c>
      <c r="H9" s="4" t="s">
        <v>27</v>
      </c>
      <c r="I9" s="4" t="s">
        <v>51</v>
      </c>
    </row>
    <row r="10" customFormat="false" ht="15" hidden="false" customHeight="false" outlineLevel="0" collapsed="false">
      <c r="A10" s="7" t="s">
        <v>52</v>
      </c>
      <c r="B10" s="7" t="s">
        <v>53</v>
      </c>
      <c r="C10" s="7" t="s">
        <v>39</v>
      </c>
      <c r="D10" s="7" t="s">
        <v>54</v>
      </c>
      <c r="E10" s="7" t="s">
        <v>55</v>
      </c>
      <c r="F10" s="7" t="s">
        <v>16</v>
      </c>
      <c r="G10" s="7" t="s">
        <v>56</v>
      </c>
      <c r="H10" s="7" t="s">
        <v>57</v>
      </c>
      <c r="I10" s="7" t="s">
        <v>58</v>
      </c>
    </row>
    <row r="11" customFormat="false" ht="15" hidden="false" customHeight="false" outlineLevel="0" collapsed="false">
      <c r="A11" s="7" t="s">
        <v>59</v>
      </c>
      <c r="B11" s="7" t="s">
        <v>60</v>
      </c>
      <c r="C11" s="7" t="s">
        <v>39</v>
      </c>
      <c r="D11" s="7" t="s">
        <v>61</v>
      </c>
      <c r="E11" s="7" t="s">
        <v>15</v>
      </c>
      <c r="F11" s="7" t="s">
        <v>16</v>
      </c>
      <c r="G11" s="7" t="s">
        <v>62</v>
      </c>
      <c r="H11" s="7" t="s">
        <v>27</v>
      </c>
      <c r="I11" s="7" t="s">
        <v>63</v>
      </c>
    </row>
    <row r="12" customFormat="false" ht="15" hidden="false" customHeight="false" outlineLevel="0" collapsed="false">
      <c r="A12" s="4" t="s">
        <v>64</v>
      </c>
      <c r="B12" s="4" t="s">
        <v>65</v>
      </c>
      <c r="C12" s="4" t="s">
        <v>13</v>
      </c>
      <c r="D12" s="4" t="s">
        <v>66</v>
      </c>
      <c r="E12" s="4" t="s">
        <v>67</v>
      </c>
      <c r="F12" s="4" t="s">
        <v>25</v>
      </c>
      <c r="G12" s="4" t="s">
        <v>68</v>
      </c>
      <c r="H12" s="4" t="s">
        <v>69</v>
      </c>
      <c r="I12" s="4" t="s">
        <v>70</v>
      </c>
    </row>
    <row r="13" customFormat="false" ht="15" hidden="false" customHeight="false" outlineLevel="0" collapsed="false">
      <c r="A13" s="5" t="s">
        <v>71</v>
      </c>
      <c r="B13" s="5" t="s">
        <v>72</v>
      </c>
      <c r="C13" s="5" t="s">
        <v>73</v>
      </c>
      <c r="D13" s="5" t="s">
        <v>74</v>
      </c>
      <c r="E13" s="5" t="s">
        <v>75</v>
      </c>
      <c r="F13" s="5" t="s">
        <v>75</v>
      </c>
      <c r="G13" s="5" t="s">
        <v>75</v>
      </c>
      <c r="H13" s="5" t="s">
        <v>75</v>
      </c>
      <c r="I13" s="5" t="s">
        <v>76</v>
      </c>
    </row>
    <row r="14" customFormat="false" ht="15" hidden="false" customHeight="false" outlineLevel="0" collapsed="false">
      <c r="A14" s="6" t="s">
        <v>77</v>
      </c>
      <c r="B14" s="6" t="s">
        <v>78</v>
      </c>
      <c r="C14" s="6" t="s">
        <v>31</v>
      </c>
      <c r="D14" s="6" t="s">
        <v>79</v>
      </c>
      <c r="E14" s="6" t="s">
        <v>15</v>
      </c>
      <c r="F14" s="6" t="s">
        <v>16</v>
      </c>
      <c r="G14" s="6" t="s">
        <v>80</v>
      </c>
      <c r="H14" s="6" t="s">
        <v>27</v>
      </c>
      <c r="I14" s="6" t="s">
        <v>81</v>
      </c>
    </row>
    <row r="15" customFormat="false" ht="15" hidden="false" customHeight="false" outlineLevel="0" collapsed="false">
      <c r="A15" s="7" t="s">
        <v>82</v>
      </c>
      <c r="B15" s="7" t="s">
        <v>83</v>
      </c>
      <c r="C15" s="7" t="s">
        <v>39</v>
      </c>
      <c r="D15" s="7" t="s">
        <v>84</v>
      </c>
      <c r="E15" s="7" t="s">
        <v>85</v>
      </c>
      <c r="F15" s="7" t="s">
        <v>42</v>
      </c>
      <c r="G15" s="7" t="s">
        <v>86</v>
      </c>
      <c r="H15" s="7" t="s">
        <v>87</v>
      </c>
      <c r="I15" s="7" t="s">
        <v>88</v>
      </c>
    </row>
    <row r="16" customFormat="false" ht="15" hidden="false" customHeight="false" outlineLevel="0" collapsed="false">
      <c r="A16" s="4" t="s">
        <v>89</v>
      </c>
      <c r="B16" s="4" t="s">
        <v>90</v>
      </c>
      <c r="C16" s="4" t="s">
        <v>13</v>
      </c>
      <c r="D16" s="4" t="s">
        <v>91</v>
      </c>
      <c r="E16" s="4" t="s">
        <v>49</v>
      </c>
      <c r="F16" s="4" t="s">
        <v>25</v>
      </c>
      <c r="G16" s="4" t="s">
        <v>92</v>
      </c>
      <c r="H16" s="4" t="s">
        <v>93</v>
      </c>
      <c r="I16" s="4" t="s">
        <v>94</v>
      </c>
    </row>
    <row r="17" customFormat="false" ht="15" hidden="false" customHeight="false" outlineLevel="0" collapsed="false">
      <c r="A17" s="5" t="s">
        <v>95</v>
      </c>
      <c r="B17" s="5" t="s">
        <v>96</v>
      </c>
      <c r="C17" s="5" t="s">
        <v>97</v>
      </c>
      <c r="D17" s="5" t="s">
        <v>98</v>
      </c>
      <c r="E17" s="5" t="s">
        <v>67</v>
      </c>
      <c r="F17" s="5" t="s">
        <v>25</v>
      </c>
      <c r="G17" s="5" t="s">
        <v>99</v>
      </c>
      <c r="H17" s="5" t="s">
        <v>100</v>
      </c>
      <c r="I17" s="5" t="s">
        <v>101</v>
      </c>
    </row>
    <row r="18" customFormat="false" ht="15" hidden="false" customHeight="false" outlineLevel="0" collapsed="false">
      <c r="A18" s="7" t="s">
        <v>102</v>
      </c>
      <c r="B18" s="7" t="s">
        <v>103</v>
      </c>
      <c r="C18" s="7" t="s">
        <v>39</v>
      </c>
      <c r="D18" s="7" t="s">
        <v>104</v>
      </c>
      <c r="E18" s="7" t="s">
        <v>15</v>
      </c>
      <c r="F18" s="7" t="s">
        <v>16</v>
      </c>
      <c r="G18" s="7" t="s">
        <v>105</v>
      </c>
      <c r="H18" s="7" t="s">
        <v>106</v>
      </c>
      <c r="I18" s="7" t="s">
        <v>107</v>
      </c>
    </row>
    <row r="19" customFormat="false" ht="15" hidden="false" customHeight="false" outlineLevel="0" collapsed="false">
      <c r="A19" s="5" t="s">
        <v>108</v>
      </c>
      <c r="B19" s="5" t="s">
        <v>109</v>
      </c>
      <c r="C19" s="5" t="s">
        <v>110</v>
      </c>
      <c r="D19" s="5" t="s">
        <v>111</v>
      </c>
      <c r="E19" s="5" t="s">
        <v>41</v>
      </c>
      <c r="F19" s="5" t="s">
        <v>42</v>
      </c>
      <c r="G19" s="5" t="s">
        <v>112</v>
      </c>
      <c r="H19" s="5" t="s">
        <v>113</v>
      </c>
      <c r="I19" s="5" t="s">
        <v>114</v>
      </c>
    </row>
    <row r="20" customFormat="false" ht="15" hidden="false" customHeight="false" outlineLevel="0" collapsed="false">
      <c r="A20" s="4" t="s">
        <v>115</v>
      </c>
      <c r="B20" s="4" t="s">
        <v>116</v>
      </c>
      <c r="C20" s="4" t="s">
        <v>13</v>
      </c>
      <c r="D20" s="4" t="s">
        <v>117</v>
      </c>
      <c r="E20" s="4" t="s">
        <v>49</v>
      </c>
      <c r="F20" s="4" t="s">
        <v>25</v>
      </c>
      <c r="G20" s="4" t="s">
        <v>118</v>
      </c>
      <c r="H20" s="4" t="s">
        <v>119</v>
      </c>
      <c r="I20" s="4" t="s">
        <v>120</v>
      </c>
    </row>
    <row r="21" customFormat="false" ht="23.85" hidden="false" customHeight="false" outlineLevel="0" collapsed="false">
      <c r="A21" s="6" t="s">
        <v>121</v>
      </c>
      <c r="B21" s="6" t="s">
        <v>122</v>
      </c>
      <c r="C21" s="6" t="s">
        <v>31</v>
      </c>
      <c r="D21" s="6" t="s">
        <v>123</v>
      </c>
      <c r="E21" s="6" t="s">
        <v>15</v>
      </c>
      <c r="F21" s="6" t="s">
        <v>16</v>
      </c>
      <c r="G21" s="6" t="s">
        <v>124</v>
      </c>
      <c r="H21" s="6" t="s">
        <v>27</v>
      </c>
      <c r="I21" s="6" t="s">
        <v>125</v>
      </c>
    </row>
    <row r="22" customFormat="false" ht="15" hidden="false" customHeight="false" outlineLevel="0" collapsed="false">
      <c r="A22" s="7" t="s">
        <v>126</v>
      </c>
      <c r="B22" s="7" t="s">
        <v>127</v>
      </c>
      <c r="C22" s="7" t="s">
        <v>39</v>
      </c>
      <c r="D22" s="7" t="s">
        <v>128</v>
      </c>
      <c r="E22" s="7" t="s">
        <v>129</v>
      </c>
      <c r="F22" s="7" t="s">
        <v>25</v>
      </c>
      <c r="G22" s="7" t="s">
        <v>130</v>
      </c>
      <c r="H22" s="7" t="s">
        <v>131</v>
      </c>
      <c r="I22" s="7" t="s">
        <v>132</v>
      </c>
    </row>
    <row r="23" customFormat="false" ht="15" hidden="false" customHeight="false" outlineLevel="0" collapsed="false">
      <c r="A23" s="4" t="s">
        <v>133</v>
      </c>
      <c r="B23" s="4" t="s">
        <v>134</v>
      </c>
      <c r="C23" s="4" t="s">
        <v>13</v>
      </c>
      <c r="D23" s="4" t="s">
        <v>135</v>
      </c>
      <c r="E23" s="4" t="s">
        <v>67</v>
      </c>
      <c r="F23" s="4" t="s">
        <v>25</v>
      </c>
      <c r="G23" s="4" t="s">
        <v>136</v>
      </c>
      <c r="H23" s="4" t="s">
        <v>87</v>
      </c>
      <c r="I23" s="4" t="s">
        <v>137</v>
      </c>
    </row>
    <row r="24" customFormat="false" ht="15" hidden="false" customHeight="false" outlineLevel="0" collapsed="false">
      <c r="A24" s="5" t="s">
        <v>138</v>
      </c>
      <c r="B24" s="5" t="s">
        <v>139</v>
      </c>
      <c r="C24" s="5" t="s">
        <v>97</v>
      </c>
      <c r="D24" s="5" t="s">
        <v>140</v>
      </c>
      <c r="E24" s="5" t="s">
        <v>141</v>
      </c>
      <c r="F24" s="5" t="s">
        <v>42</v>
      </c>
      <c r="G24" s="5" t="s">
        <v>142</v>
      </c>
      <c r="H24" s="5" t="s">
        <v>27</v>
      </c>
      <c r="I24" s="5" t="s">
        <v>143</v>
      </c>
    </row>
    <row r="25" customFormat="false" ht="15" hidden="false" customHeight="false" outlineLevel="0" collapsed="false">
      <c r="A25" s="7" t="s">
        <v>144</v>
      </c>
      <c r="B25" s="7" t="s">
        <v>145</v>
      </c>
      <c r="C25" s="7" t="s">
        <v>39</v>
      </c>
      <c r="D25" s="7" t="s">
        <v>61</v>
      </c>
      <c r="E25" s="7" t="s">
        <v>15</v>
      </c>
      <c r="F25" s="7" t="s">
        <v>16</v>
      </c>
      <c r="G25" s="7" t="s">
        <v>146</v>
      </c>
      <c r="H25" s="7" t="s">
        <v>27</v>
      </c>
      <c r="I25" s="7" t="s">
        <v>147</v>
      </c>
    </row>
    <row r="26" customFormat="false" ht="15" hidden="false" customHeight="false" outlineLevel="0" collapsed="false">
      <c r="A26" s="4" t="s">
        <v>148</v>
      </c>
      <c r="B26" s="4" t="s">
        <v>149</v>
      </c>
      <c r="C26" s="4" t="s">
        <v>13</v>
      </c>
      <c r="D26" s="4" t="s">
        <v>150</v>
      </c>
      <c r="E26" s="4" t="s">
        <v>49</v>
      </c>
      <c r="F26" s="4" t="s">
        <v>25</v>
      </c>
      <c r="G26" s="4" t="s">
        <v>151</v>
      </c>
      <c r="H26" s="4" t="s">
        <v>87</v>
      </c>
      <c r="I26" s="4" t="s">
        <v>152</v>
      </c>
    </row>
    <row r="27" customFormat="false" ht="15" hidden="false" customHeight="false" outlineLevel="0" collapsed="false">
      <c r="A27" s="5" t="s">
        <v>153</v>
      </c>
      <c r="B27" s="5" t="s">
        <v>154</v>
      </c>
      <c r="C27" s="5" t="s">
        <v>73</v>
      </c>
      <c r="D27" s="5" t="s">
        <v>74</v>
      </c>
      <c r="E27" s="5" t="s">
        <v>75</v>
      </c>
      <c r="F27" s="5" t="s">
        <v>75</v>
      </c>
      <c r="G27" s="5" t="s">
        <v>75</v>
      </c>
      <c r="H27" s="5" t="s">
        <v>75</v>
      </c>
      <c r="I27" s="5" t="s">
        <v>76</v>
      </c>
    </row>
    <row r="28" customFormat="false" ht="15" hidden="false" customHeight="false" outlineLevel="0" collapsed="false">
      <c r="A28" s="6" t="s">
        <v>155</v>
      </c>
      <c r="B28" s="6" t="s">
        <v>156</v>
      </c>
      <c r="C28" s="6" t="s">
        <v>31</v>
      </c>
      <c r="D28" s="6" t="s">
        <v>157</v>
      </c>
      <c r="E28" s="6" t="s">
        <v>15</v>
      </c>
      <c r="F28" s="6" t="s">
        <v>16</v>
      </c>
      <c r="G28" s="6" t="s">
        <v>158</v>
      </c>
      <c r="H28" s="6" t="s">
        <v>27</v>
      </c>
      <c r="I28" s="6" t="s">
        <v>159</v>
      </c>
    </row>
    <row r="29" customFormat="false" ht="15" hidden="false" customHeight="false" outlineLevel="0" collapsed="false">
      <c r="A29" s="7" t="s">
        <v>160</v>
      </c>
      <c r="B29" s="7" t="s">
        <v>161</v>
      </c>
      <c r="C29" s="7" t="s">
        <v>39</v>
      </c>
      <c r="D29" s="7" t="s">
        <v>162</v>
      </c>
      <c r="E29" s="7" t="s">
        <v>163</v>
      </c>
      <c r="F29" s="7" t="s">
        <v>25</v>
      </c>
      <c r="G29" s="7" t="s">
        <v>164</v>
      </c>
      <c r="H29" s="7" t="s">
        <v>165</v>
      </c>
      <c r="I29" s="7" t="s">
        <v>166</v>
      </c>
    </row>
    <row r="30" customFormat="false" ht="15" hidden="false" customHeight="false" outlineLevel="0" collapsed="false">
      <c r="A30" s="4" t="s">
        <v>167</v>
      </c>
      <c r="B30" s="4" t="s">
        <v>168</v>
      </c>
      <c r="C30" s="4" t="s">
        <v>13</v>
      </c>
      <c r="D30" s="4" t="s">
        <v>169</v>
      </c>
      <c r="E30" s="4" t="s">
        <v>170</v>
      </c>
      <c r="F30" s="4" t="s">
        <v>25</v>
      </c>
      <c r="G30" s="4" t="s">
        <v>171</v>
      </c>
      <c r="H30" s="4" t="s">
        <v>87</v>
      </c>
      <c r="I30" s="4" t="s">
        <v>172</v>
      </c>
    </row>
    <row r="31" customFormat="false" ht="15" hidden="false" customHeight="false" outlineLevel="0" collapsed="false">
      <c r="A31" s="5" t="s">
        <v>173</v>
      </c>
      <c r="B31" s="5" t="s">
        <v>174</v>
      </c>
      <c r="C31" s="5" t="s">
        <v>97</v>
      </c>
      <c r="D31" s="5" t="s">
        <v>175</v>
      </c>
      <c r="E31" s="5" t="s">
        <v>15</v>
      </c>
      <c r="F31" s="5" t="s">
        <v>16</v>
      </c>
      <c r="G31" s="5" t="s">
        <v>176</v>
      </c>
      <c r="H31" s="5" t="s">
        <v>113</v>
      </c>
      <c r="I31" s="5" t="s">
        <v>177</v>
      </c>
    </row>
    <row r="32" customFormat="false" ht="15" hidden="false" customHeight="false" outlineLevel="0" collapsed="false">
      <c r="A32" s="7" t="s">
        <v>178</v>
      </c>
      <c r="B32" s="7" t="s">
        <v>179</v>
      </c>
      <c r="C32" s="7" t="s">
        <v>39</v>
      </c>
      <c r="D32" s="7" t="s">
        <v>180</v>
      </c>
      <c r="E32" s="7" t="s">
        <v>15</v>
      </c>
      <c r="F32" s="7" t="s">
        <v>16</v>
      </c>
      <c r="G32" s="7" t="s">
        <v>181</v>
      </c>
      <c r="H32" s="7" t="s">
        <v>87</v>
      </c>
      <c r="I32" s="7" t="s">
        <v>182</v>
      </c>
    </row>
    <row r="33" customFormat="false" ht="15" hidden="false" customHeight="false" outlineLevel="0" collapsed="false">
      <c r="A33" s="4" t="s">
        <v>183</v>
      </c>
      <c r="B33" s="4" t="s">
        <v>184</v>
      </c>
      <c r="C33" s="4" t="s">
        <v>13</v>
      </c>
      <c r="D33" s="4" t="s">
        <v>185</v>
      </c>
      <c r="E33" s="4" t="s">
        <v>67</v>
      </c>
      <c r="F33" s="4" t="s">
        <v>25</v>
      </c>
      <c r="G33" s="4" t="s">
        <v>186</v>
      </c>
      <c r="H33" s="4" t="s">
        <v>87</v>
      </c>
      <c r="I33" s="4" t="s">
        <v>187</v>
      </c>
    </row>
    <row r="34" customFormat="false" ht="23.85" hidden="false" customHeight="false" outlineLevel="0" collapsed="false">
      <c r="A34" s="5" t="s">
        <v>188</v>
      </c>
      <c r="B34" s="5" t="s">
        <v>189</v>
      </c>
      <c r="C34" s="5" t="s">
        <v>97</v>
      </c>
      <c r="D34" s="5" t="s">
        <v>190</v>
      </c>
      <c r="E34" s="5" t="s">
        <v>141</v>
      </c>
      <c r="F34" s="5" t="s">
        <v>42</v>
      </c>
      <c r="G34" s="5" t="s">
        <v>191</v>
      </c>
      <c r="H34" s="5" t="s">
        <v>27</v>
      </c>
      <c r="I34" s="5" t="s">
        <v>192</v>
      </c>
    </row>
    <row r="35" customFormat="false" ht="15" hidden="false" customHeight="false" outlineLevel="0" collapsed="false">
      <c r="A35" s="6" t="s">
        <v>193</v>
      </c>
      <c r="B35" s="6" t="s">
        <v>194</v>
      </c>
      <c r="C35" s="6" t="s">
        <v>31</v>
      </c>
      <c r="D35" s="6" t="s">
        <v>195</v>
      </c>
      <c r="E35" s="6" t="s">
        <v>33</v>
      </c>
      <c r="F35" s="6" t="s">
        <v>25</v>
      </c>
      <c r="G35" s="6" t="s">
        <v>196</v>
      </c>
      <c r="H35" s="6" t="s">
        <v>197</v>
      </c>
      <c r="I35" s="6" t="s">
        <v>198</v>
      </c>
    </row>
    <row r="37" customFormat="false" ht="15" hidden="false" customHeight="false" outlineLevel="0" collapsed="false">
      <c r="A37" s="8" t="s">
        <v>199</v>
      </c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9" t="s">
        <v>39</v>
      </c>
      <c r="B38" s="0" t="n">
        <f aca="false">COUNTIF(C5:C35,"Reinvención")</f>
        <v>9</v>
      </c>
    </row>
    <row r="39" customFormat="false" ht="15" hidden="false" customHeight="false" outlineLevel="0" collapsed="false">
      <c r="A39" s="9" t="s">
        <v>13</v>
      </c>
      <c r="B39" s="0" t="n">
        <f aca="false">COUNTIF(C5:C35,"Espiritualidad")</f>
        <v>9</v>
      </c>
    </row>
    <row r="40" customFormat="false" ht="15" hidden="false" customHeight="false" outlineLevel="0" collapsed="false">
      <c r="A40" s="9" t="s">
        <v>31</v>
      </c>
      <c r="B40" s="0" t="n">
        <f aca="false">COUNTIF(C5:C35,"Viral")</f>
        <v>5</v>
      </c>
    </row>
    <row r="41" customFormat="false" ht="15" hidden="false" customHeight="false" outlineLevel="0" collapsed="false">
      <c r="A41" s="9" t="s">
        <v>200</v>
      </c>
      <c r="B41" s="0" t="n">
        <f aca="false">COUNTIF(C5:C35,"Marca")+COUNTIF(C5:C35,"PRE-VENTA")</f>
        <v>5</v>
      </c>
    </row>
    <row r="42" customFormat="false" ht="15" hidden="false" customHeight="false" outlineLevel="0" collapsed="false">
      <c r="A42" s="9" t="s">
        <v>73</v>
      </c>
      <c r="B42" s="0" t="n">
        <f aca="false">COUNTIF(C5:C35,"(descanso)")</f>
        <v>2</v>
      </c>
    </row>
    <row r="43" customFormat="false" ht="15" hidden="false" customHeight="false" outlineLevel="0" collapsed="false">
      <c r="A43" s="9" t="s">
        <v>201</v>
      </c>
      <c r="B43" s="9" t="n">
        <f aca="false">SUM(B38:B41)</f>
        <v>28</v>
      </c>
    </row>
    <row r="44" customFormat="false" ht="15" hidden="false" customHeight="false" outlineLevel="0" collapsed="false">
      <c r="A44" s="10" t="s">
        <v>202</v>
      </c>
      <c r="B44" s="10" t="str">
        <f aca="false">IF(B43&gt;=24,"SI ✓","NO — agregar piezas")</f>
        <v>SI ✓</v>
      </c>
    </row>
  </sheetData>
  <mergeCells count="3">
    <mergeCell ref="A1:I1"/>
    <mergeCell ref="A2:I2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11" t="s">
        <v>203</v>
      </c>
      <c r="B1" s="11"/>
      <c r="C1" s="11"/>
    </row>
    <row r="3" customFormat="false" ht="15" hidden="false" customHeight="false" outlineLevel="0" collapsed="false">
      <c r="A3" s="12" t="s">
        <v>4</v>
      </c>
      <c r="B3" s="12" t="s">
        <v>204</v>
      </c>
      <c r="C3" s="12" t="s">
        <v>205</v>
      </c>
    </row>
    <row r="4" customFormat="false" ht="23.85" hidden="false" customHeight="false" outlineLevel="0" collapsed="false">
      <c r="A4" s="5" t="s">
        <v>39</v>
      </c>
      <c r="B4" s="5" t="s">
        <v>206</v>
      </c>
      <c r="C4" s="5" t="s">
        <v>207</v>
      </c>
    </row>
    <row r="5" customFormat="false" ht="23.85" hidden="false" customHeight="false" outlineLevel="0" collapsed="false">
      <c r="A5" s="5" t="s">
        <v>13</v>
      </c>
      <c r="B5" s="5" t="s">
        <v>208</v>
      </c>
      <c r="C5" s="5" t="s">
        <v>209</v>
      </c>
    </row>
    <row r="6" customFormat="false" ht="15" hidden="false" customHeight="false" outlineLevel="0" collapsed="false">
      <c r="A6" s="5" t="s">
        <v>210</v>
      </c>
      <c r="B6" s="5" t="s">
        <v>211</v>
      </c>
      <c r="C6" s="5" t="s">
        <v>212</v>
      </c>
    </row>
    <row r="7" customFormat="false" ht="15" hidden="false" customHeight="false" outlineLevel="0" collapsed="false">
      <c r="A7" s="5" t="s">
        <v>213</v>
      </c>
      <c r="B7" s="5" t="s">
        <v>214</v>
      </c>
      <c r="C7" s="5" t="s">
        <v>215</v>
      </c>
    </row>
    <row r="8" customFormat="false" ht="15" hidden="false" customHeight="false" outlineLevel="0" collapsed="false">
      <c r="A8" s="5" t="s">
        <v>216</v>
      </c>
      <c r="B8" s="5" t="s">
        <v>217</v>
      </c>
      <c r="C8" s="5" t="s">
        <v>218</v>
      </c>
    </row>
    <row r="9" customFormat="false" ht="15" hidden="false" customHeight="false" outlineLevel="0" collapsed="false">
      <c r="A9" s="6" t="s">
        <v>219</v>
      </c>
      <c r="B9" s="6" t="s">
        <v>220</v>
      </c>
      <c r="C9" s="6" t="s">
        <v>15</v>
      </c>
    </row>
    <row r="10" customFormat="false" ht="23.85" hidden="false" customHeight="false" outlineLevel="0" collapsed="false">
      <c r="A10" s="13" t="s">
        <v>221</v>
      </c>
      <c r="B10" s="13" t="s">
        <v>222</v>
      </c>
      <c r="C10" s="13" t="s">
        <v>223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8" min="4" style="0" width="14"/>
  </cols>
  <sheetData>
    <row r="1" customFormat="false" ht="17.35" hidden="false" customHeight="false" outlineLevel="0" collapsed="false">
      <c r="A1" s="11" t="s">
        <v>224</v>
      </c>
      <c r="B1" s="11"/>
      <c r="C1" s="11"/>
      <c r="D1" s="11"/>
      <c r="E1" s="11"/>
      <c r="F1" s="11"/>
      <c r="G1" s="11"/>
      <c r="H1" s="11"/>
    </row>
    <row r="3" customFormat="false" ht="39.55" hidden="false" customHeight="false" outlineLevel="0" collapsed="false">
      <c r="A3" s="14" t="s">
        <v>3</v>
      </c>
      <c r="B3" s="14" t="s">
        <v>225</v>
      </c>
      <c r="C3" s="14" t="s">
        <v>4</v>
      </c>
      <c r="D3" s="14" t="s">
        <v>226</v>
      </c>
      <c r="E3" s="14" t="s">
        <v>227</v>
      </c>
      <c r="F3" s="14" t="s">
        <v>228</v>
      </c>
      <c r="G3" s="14" t="s">
        <v>229</v>
      </c>
      <c r="H3" s="14" t="s">
        <v>230</v>
      </c>
    </row>
    <row r="4" customFormat="false" ht="15" hidden="false" customHeight="false" outlineLevel="0" collapsed="false">
      <c r="A4" s="15" t="s">
        <v>12</v>
      </c>
      <c r="B4" s="15" t="s">
        <v>14</v>
      </c>
      <c r="C4" s="15" t="s">
        <v>13</v>
      </c>
      <c r="D4" s="15"/>
      <c r="E4" s="15"/>
      <c r="F4" s="15"/>
      <c r="G4" s="15"/>
      <c r="H4" s="16" t="str">
        <f aca="false">IF(D4=0,"",IFERROR((E4+F4+G4)/D4*100,""))</f>
        <v/>
      </c>
    </row>
    <row r="5" customFormat="false" ht="15" hidden="false" customHeight="false" outlineLevel="0" collapsed="false">
      <c r="A5" s="15" t="s">
        <v>21</v>
      </c>
      <c r="B5" s="15" t="s">
        <v>23</v>
      </c>
      <c r="C5" s="15" t="s">
        <v>22</v>
      </c>
      <c r="D5" s="15"/>
      <c r="E5" s="15"/>
      <c r="F5" s="15"/>
      <c r="G5" s="15"/>
      <c r="H5" s="16" t="str">
        <f aca="false">IF(D5=0,"",IFERROR((E5+F5+G5)/D5*100,""))</f>
        <v/>
      </c>
    </row>
    <row r="6" customFormat="false" ht="15" hidden="false" customHeight="false" outlineLevel="0" collapsed="false">
      <c r="A6" s="15" t="s">
        <v>30</v>
      </c>
      <c r="B6" s="15" t="s">
        <v>32</v>
      </c>
      <c r="C6" s="15" t="s">
        <v>31</v>
      </c>
      <c r="D6" s="15"/>
      <c r="E6" s="15"/>
      <c r="F6" s="15"/>
      <c r="G6" s="15"/>
      <c r="H6" s="16" t="str">
        <f aca="false">IF(D6=0,"",IFERROR((E6+F6+G6)/D6*100,""))</f>
        <v/>
      </c>
    </row>
    <row r="7" customFormat="false" ht="15" hidden="false" customHeight="false" outlineLevel="0" collapsed="false">
      <c r="A7" s="15" t="s">
        <v>38</v>
      </c>
      <c r="B7" s="15" t="s">
        <v>40</v>
      </c>
      <c r="C7" s="15" t="s">
        <v>39</v>
      </c>
      <c r="D7" s="15"/>
      <c r="E7" s="15"/>
      <c r="F7" s="15"/>
      <c r="G7" s="15"/>
      <c r="H7" s="16" t="str">
        <f aca="false">IF(D7=0,"",IFERROR((E7+F7+G7)/D7*100,""))</f>
        <v/>
      </c>
    </row>
    <row r="8" customFormat="false" ht="15" hidden="false" customHeight="false" outlineLevel="0" collapsed="false">
      <c r="A8" s="15" t="s">
        <v>47</v>
      </c>
      <c r="B8" s="15" t="s">
        <v>48</v>
      </c>
      <c r="C8" s="15" t="s">
        <v>13</v>
      </c>
      <c r="D8" s="15"/>
      <c r="E8" s="15"/>
      <c r="F8" s="15"/>
      <c r="G8" s="15"/>
      <c r="H8" s="16" t="str">
        <f aca="false">IF(D8=0,"",IFERROR((E8+F8+G8)/D8*100,""))</f>
        <v/>
      </c>
    </row>
    <row r="9" customFormat="false" ht="15" hidden="false" customHeight="false" outlineLevel="0" collapsed="false">
      <c r="A9" s="15" t="s">
        <v>53</v>
      </c>
      <c r="B9" s="15" t="s">
        <v>54</v>
      </c>
      <c r="C9" s="15" t="s">
        <v>39</v>
      </c>
      <c r="D9" s="15"/>
      <c r="E9" s="15"/>
      <c r="F9" s="15"/>
      <c r="G9" s="15"/>
      <c r="H9" s="16" t="str">
        <f aca="false">IF(D9=0,"",IFERROR((E9+F9+G9)/D9*100,""))</f>
        <v/>
      </c>
    </row>
    <row r="10" customFormat="false" ht="15" hidden="false" customHeight="false" outlineLevel="0" collapsed="false">
      <c r="A10" s="15" t="s">
        <v>60</v>
      </c>
      <c r="B10" s="15" t="s">
        <v>61</v>
      </c>
      <c r="C10" s="15" t="s">
        <v>39</v>
      </c>
      <c r="D10" s="15"/>
      <c r="E10" s="15"/>
      <c r="F10" s="15"/>
      <c r="G10" s="15"/>
      <c r="H10" s="16" t="str">
        <f aca="false">IF(D10=0,"",IFERROR((E10+F10+G10)/D10*100,""))</f>
        <v/>
      </c>
    </row>
    <row r="11" customFormat="false" ht="15" hidden="false" customHeight="false" outlineLevel="0" collapsed="false">
      <c r="A11" s="15" t="s">
        <v>65</v>
      </c>
      <c r="B11" s="15" t="s">
        <v>66</v>
      </c>
      <c r="C11" s="15" t="s">
        <v>13</v>
      </c>
      <c r="D11" s="15"/>
      <c r="E11" s="15"/>
      <c r="F11" s="15"/>
      <c r="G11" s="15"/>
      <c r="H11" s="16" t="str">
        <f aca="false">IF(D11=0,"",IFERROR((E11+F11+G11)/D11*100,""))</f>
        <v/>
      </c>
    </row>
    <row r="12" customFormat="false" ht="15" hidden="false" customHeight="false" outlineLevel="0" collapsed="false">
      <c r="A12" s="15" t="s">
        <v>72</v>
      </c>
      <c r="B12" s="15" t="s">
        <v>74</v>
      </c>
      <c r="C12" s="15" t="s">
        <v>73</v>
      </c>
      <c r="D12" s="15"/>
      <c r="E12" s="15"/>
      <c r="F12" s="15"/>
      <c r="G12" s="15"/>
      <c r="H12" s="16" t="str">
        <f aca="false">IF(D12=0,"",IFERROR((E12+F12+G12)/D12*100,""))</f>
        <v/>
      </c>
    </row>
    <row r="13" customFormat="false" ht="15" hidden="false" customHeight="false" outlineLevel="0" collapsed="false">
      <c r="A13" s="15" t="s">
        <v>78</v>
      </c>
      <c r="B13" s="15" t="s">
        <v>79</v>
      </c>
      <c r="C13" s="15" t="s">
        <v>31</v>
      </c>
      <c r="D13" s="15"/>
      <c r="E13" s="15"/>
      <c r="F13" s="15"/>
      <c r="G13" s="15"/>
      <c r="H13" s="16" t="str">
        <f aca="false">IF(D13=0,"",IFERROR((E13+F13+G13)/D13*100,""))</f>
        <v/>
      </c>
    </row>
    <row r="14" customFormat="false" ht="15" hidden="false" customHeight="false" outlineLevel="0" collapsed="false">
      <c r="A14" s="15" t="s">
        <v>83</v>
      </c>
      <c r="B14" s="15" t="s">
        <v>84</v>
      </c>
      <c r="C14" s="15" t="s">
        <v>39</v>
      </c>
      <c r="D14" s="15"/>
      <c r="E14" s="15"/>
      <c r="F14" s="15"/>
      <c r="G14" s="15"/>
      <c r="H14" s="16" t="str">
        <f aca="false">IF(D14=0,"",IFERROR((E14+F14+G14)/D14*100,""))</f>
        <v/>
      </c>
    </row>
    <row r="15" customFormat="false" ht="15" hidden="false" customHeight="false" outlineLevel="0" collapsed="false">
      <c r="A15" s="15" t="s">
        <v>90</v>
      </c>
      <c r="B15" s="15" t="s">
        <v>91</v>
      </c>
      <c r="C15" s="15" t="s">
        <v>13</v>
      </c>
      <c r="D15" s="15"/>
      <c r="E15" s="15"/>
      <c r="F15" s="15"/>
      <c r="G15" s="15"/>
      <c r="H15" s="16" t="str">
        <f aca="false">IF(D15=0,"",IFERROR((E15+F15+G15)/D15*100,""))</f>
        <v/>
      </c>
    </row>
    <row r="16" customFormat="false" ht="15" hidden="false" customHeight="false" outlineLevel="0" collapsed="false">
      <c r="A16" s="15" t="s">
        <v>96</v>
      </c>
      <c r="B16" s="15" t="s">
        <v>98</v>
      </c>
      <c r="C16" s="15" t="s">
        <v>97</v>
      </c>
      <c r="D16" s="15"/>
      <c r="E16" s="15"/>
      <c r="F16" s="15"/>
      <c r="G16" s="15"/>
      <c r="H16" s="16" t="str">
        <f aca="false">IF(D16=0,"",IFERROR((E16+F16+G16)/D16*100,""))</f>
        <v/>
      </c>
    </row>
    <row r="17" customFormat="false" ht="15" hidden="false" customHeight="false" outlineLevel="0" collapsed="false">
      <c r="A17" s="15" t="s">
        <v>103</v>
      </c>
      <c r="B17" s="15" t="s">
        <v>104</v>
      </c>
      <c r="C17" s="15" t="s">
        <v>39</v>
      </c>
      <c r="D17" s="15"/>
      <c r="E17" s="15"/>
      <c r="F17" s="15"/>
      <c r="G17" s="15"/>
      <c r="H17" s="16" t="str">
        <f aca="false">IF(D17=0,"",IFERROR((E17+F17+G17)/D17*100,""))</f>
        <v/>
      </c>
    </row>
    <row r="18" customFormat="false" ht="15" hidden="false" customHeight="false" outlineLevel="0" collapsed="false">
      <c r="A18" s="15" t="s">
        <v>109</v>
      </c>
      <c r="B18" s="15" t="s">
        <v>111</v>
      </c>
      <c r="C18" s="15" t="s">
        <v>110</v>
      </c>
      <c r="D18" s="15"/>
      <c r="E18" s="15"/>
      <c r="F18" s="15"/>
      <c r="G18" s="15"/>
      <c r="H18" s="16" t="str">
        <f aca="false">IF(D18=0,"",IFERROR((E18+F18+G18)/D18*100,""))</f>
        <v/>
      </c>
    </row>
    <row r="19" customFormat="false" ht="15" hidden="false" customHeight="false" outlineLevel="0" collapsed="false">
      <c r="A19" s="15" t="s">
        <v>116</v>
      </c>
      <c r="B19" s="15" t="s">
        <v>117</v>
      </c>
      <c r="C19" s="15" t="s">
        <v>13</v>
      </c>
      <c r="D19" s="15"/>
      <c r="E19" s="15"/>
      <c r="F19" s="15"/>
      <c r="G19" s="15"/>
      <c r="H19" s="16" t="str">
        <f aca="false">IF(D19=0,"",IFERROR((E19+F19+G19)/D19*100,""))</f>
        <v/>
      </c>
    </row>
    <row r="20" customFormat="false" ht="15" hidden="false" customHeight="false" outlineLevel="0" collapsed="false">
      <c r="A20" s="15" t="s">
        <v>122</v>
      </c>
      <c r="B20" s="15" t="s">
        <v>123</v>
      </c>
      <c r="C20" s="15" t="s">
        <v>31</v>
      </c>
      <c r="D20" s="15"/>
      <c r="E20" s="15"/>
      <c r="F20" s="15"/>
      <c r="G20" s="15"/>
      <c r="H20" s="16" t="str">
        <f aca="false">IF(D20=0,"",IFERROR((E20+F20+G20)/D20*100,""))</f>
        <v/>
      </c>
    </row>
    <row r="21" customFormat="false" ht="15" hidden="false" customHeight="false" outlineLevel="0" collapsed="false">
      <c r="A21" s="15" t="s">
        <v>127</v>
      </c>
      <c r="B21" s="15" t="s">
        <v>128</v>
      </c>
      <c r="C21" s="15" t="s">
        <v>39</v>
      </c>
      <c r="D21" s="15"/>
      <c r="E21" s="15"/>
      <c r="F21" s="15"/>
      <c r="G21" s="15"/>
      <c r="H21" s="16" t="str">
        <f aca="false">IF(D21=0,"",IFERROR((E21+F21+G21)/D21*100,""))</f>
        <v/>
      </c>
    </row>
    <row r="22" customFormat="false" ht="15" hidden="false" customHeight="false" outlineLevel="0" collapsed="false">
      <c r="A22" s="15" t="s">
        <v>134</v>
      </c>
      <c r="B22" s="15" t="s">
        <v>135</v>
      </c>
      <c r="C22" s="15" t="s">
        <v>13</v>
      </c>
      <c r="D22" s="15"/>
      <c r="E22" s="15"/>
      <c r="F22" s="15"/>
      <c r="G22" s="15"/>
      <c r="H22" s="16" t="str">
        <f aca="false">IF(D22=0,"",IFERROR((E22+F22+G22)/D22*100,""))</f>
        <v/>
      </c>
    </row>
    <row r="23" customFormat="false" ht="15" hidden="false" customHeight="false" outlineLevel="0" collapsed="false">
      <c r="A23" s="15" t="s">
        <v>139</v>
      </c>
      <c r="B23" s="15" t="s">
        <v>140</v>
      </c>
      <c r="C23" s="15" t="s">
        <v>97</v>
      </c>
      <c r="D23" s="15"/>
      <c r="E23" s="15"/>
      <c r="F23" s="15"/>
      <c r="G23" s="15"/>
      <c r="H23" s="16" t="str">
        <f aca="false">IF(D23=0,"",IFERROR((E23+F23+G23)/D23*100,""))</f>
        <v/>
      </c>
    </row>
    <row r="24" customFormat="false" ht="15" hidden="false" customHeight="false" outlineLevel="0" collapsed="false">
      <c r="A24" s="15" t="s">
        <v>145</v>
      </c>
      <c r="B24" s="15" t="s">
        <v>61</v>
      </c>
      <c r="C24" s="15" t="s">
        <v>39</v>
      </c>
      <c r="D24" s="15"/>
      <c r="E24" s="15"/>
      <c r="F24" s="15"/>
      <c r="G24" s="15"/>
      <c r="H24" s="16" t="str">
        <f aca="false">IF(D24=0,"",IFERROR((E24+F24+G24)/D24*100,""))</f>
        <v/>
      </c>
    </row>
    <row r="25" customFormat="false" ht="15" hidden="false" customHeight="false" outlineLevel="0" collapsed="false">
      <c r="A25" s="15" t="s">
        <v>149</v>
      </c>
      <c r="B25" s="15" t="s">
        <v>150</v>
      </c>
      <c r="C25" s="15" t="s">
        <v>13</v>
      </c>
      <c r="D25" s="15"/>
      <c r="E25" s="15"/>
      <c r="F25" s="15"/>
      <c r="G25" s="15"/>
      <c r="H25" s="16" t="str">
        <f aca="false">IF(D25=0,"",IFERROR((E25+F25+G25)/D25*100,""))</f>
        <v/>
      </c>
    </row>
    <row r="26" customFormat="false" ht="15" hidden="false" customHeight="false" outlineLevel="0" collapsed="false">
      <c r="A26" s="15" t="s">
        <v>154</v>
      </c>
      <c r="B26" s="15" t="s">
        <v>74</v>
      </c>
      <c r="C26" s="15" t="s">
        <v>73</v>
      </c>
      <c r="D26" s="15"/>
      <c r="E26" s="15"/>
      <c r="F26" s="15"/>
      <c r="G26" s="15"/>
      <c r="H26" s="16" t="str">
        <f aca="false">IF(D26=0,"",IFERROR((E26+F26+G26)/D26*100,""))</f>
        <v/>
      </c>
    </row>
    <row r="27" customFormat="false" ht="15" hidden="false" customHeight="false" outlineLevel="0" collapsed="false">
      <c r="A27" s="15" t="s">
        <v>156</v>
      </c>
      <c r="B27" s="15" t="s">
        <v>157</v>
      </c>
      <c r="C27" s="15" t="s">
        <v>31</v>
      </c>
      <c r="D27" s="15"/>
      <c r="E27" s="15"/>
      <c r="F27" s="15"/>
      <c r="G27" s="15"/>
      <c r="H27" s="16" t="str">
        <f aca="false">IF(D27=0,"",IFERROR((E27+F27+G27)/D27*100,""))</f>
        <v/>
      </c>
    </row>
    <row r="28" customFormat="false" ht="15" hidden="false" customHeight="false" outlineLevel="0" collapsed="false">
      <c r="A28" s="15" t="s">
        <v>161</v>
      </c>
      <c r="B28" s="15" t="s">
        <v>162</v>
      </c>
      <c r="C28" s="15" t="s">
        <v>39</v>
      </c>
      <c r="D28" s="15"/>
      <c r="E28" s="15"/>
      <c r="F28" s="15"/>
      <c r="G28" s="15"/>
      <c r="H28" s="16" t="str">
        <f aca="false">IF(D28=0,"",IFERROR((E28+F28+G28)/D28*100,""))</f>
        <v/>
      </c>
    </row>
    <row r="29" customFormat="false" ht="15" hidden="false" customHeight="false" outlineLevel="0" collapsed="false">
      <c r="A29" s="15" t="s">
        <v>168</v>
      </c>
      <c r="B29" s="15" t="s">
        <v>169</v>
      </c>
      <c r="C29" s="15" t="s">
        <v>13</v>
      </c>
      <c r="D29" s="15"/>
      <c r="E29" s="15"/>
      <c r="F29" s="15"/>
      <c r="G29" s="15"/>
      <c r="H29" s="16" t="str">
        <f aca="false">IF(D29=0,"",IFERROR((E29+F29+G29)/D29*100,""))</f>
        <v/>
      </c>
    </row>
    <row r="30" customFormat="false" ht="15" hidden="false" customHeight="false" outlineLevel="0" collapsed="false">
      <c r="A30" s="15" t="s">
        <v>174</v>
      </c>
      <c r="B30" s="15" t="s">
        <v>175</v>
      </c>
      <c r="C30" s="15" t="s">
        <v>97</v>
      </c>
      <c r="D30" s="15"/>
      <c r="E30" s="15"/>
      <c r="F30" s="15"/>
      <c r="G30" s="15"/>
      <c r="H30" s="16" t="str">
        <f aca="false">IF(D30=0,"",IFERROR((E30+F30+G30)/D30*100,""))</f>
        <v/>
      </c>
    </row>
    <row r="31" customFormat="false" ht="15" hidden="false" customHeight="false" outlineLevel="0" collapsed="false">
      <c r="A31" s="15" t="s">
        <v>179</v>
      </c>
      <c r="B31" s="15" t="s">
        <v>180</v>
      </c>
      <c r="C31" s="15" t="s">
        <v>39</v>
      </c>
      <c r="D31" s="15"/>
      <c r="E31" s="15"/>
      <c r="F31" s="15"/>
      <c r="G31" s="15"/>
      <c r="H31" s="16" t="str">
        <f aca="false">IF(D31=0,"",IFERROR((E31+F31+G31)/D31*100,""))</f>
        <v/>
      </c>
    </row>
    <row r="32" customFormat="false" ht="15" hidden="false" customHeight="false" outlineLevel="0" collapsed="false">
      <c r="A32" s="15" t="s">
        <v>184</v>
      </c>
      <c r="B32" s="15" t="s">
        <v>185</v>
      </c>
      <c r="C32" s="15" t="s">
        <v>13</v>
      </c>
      <c r="D32" s="15"/>
      <c r="E32" s="15"/>
      <c r="F32" s="15"/>
      <c r="G32" s="15"/>
      <c r="H32" s="16" t="str">
        <f aca="false">IF(D32=0,"",IFERROR((E32+F32+G32)/D32*100,""))</f>
        <v/>
      </c>
    </row>
    <row r="33" customFormat="false" ht="15" hidden="false" customHeight="false" outlineLevel="0" collapsed="false">
      <c r="A33" s="15" t="s">
        <v>189</v>
      </c>
      <c r="B33" s="15" t="s">
        <v>190</v>
      </c>
      <c r="C33" s="15" t="s">
        <v>97</v>
      </c>
      <c r="D33" s="15"/>
      <c r="E33" s="15"/>
      <c r="F33" s="15"/>
      <c r="G33" s="15"/>
      <c r="H33" s="16" t="str">
        <f aca="false">IF(D33=0,"",IFERROR((E33+F33+G33)/D33*100,""))</f>
        <v/>
      </c>
    </row>
    <row r="34" customFormat="false" ht="15" hidden="false" customHeight="false" outlineLevel="0" collapsed="false">
      <c r="A34" s="15" t="s">
        <v>194</v>
      </c>
      <c r="B34" s="15" t="s">
        <v>195</v>
      </c>
      <c r="C34" s="15" t="s">
        <v>31</v>
      </c>
      <c r="D34" s="15"/>
      <c r="E34" s="15"/>
      <c r="F34" s="15"/>
      <c r="G34" s="15"/>
      <c r="H34" s="16" t="str">
        <f aca="false">IF(D34=0,"",IFERROR((E34+F34+G34)/D34*100,""))</f>
        <v/>
      </c>
    </row>
    <row r="37" customFormat="false" ht="15" hidden="false" customHeight="false" outlineLevel="0" collapsed="false">
      <c r="A37" s="17" t="s">
        <v>231</v>
      </c>
    </row>
    <row r="38" customFormat="false" ht="15" hidden="false" customHeight="false" outlineLevel="0" collapsed="false">
      <c r="A38" s="9" t="s">
        <v>232</v>
      </c>
      <c r="D38" s="0" t="n">
        <f aca="false">IFERROR(AVERAGE(D4:D34),0)</f>
        <v>0</v>
      </c>
    </row>
    <row r="39" customFormat="false" ht="15" hidden="false" customHeight="false" outlineLevel="0" collapsed="false">
      <c r="A39" s="9" t="s">
        <v>233</v>
      </c>
      <c r="H39" s="18" t="n">
        <f aca="false">IFERROR(AVERAGE(H4:H34),0)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2026-04-26T19:13:16Z</dcterms:created>
  <dc:creator>openpyxl</dc:creator>
  <dc:description/>
  <dc:language>en-US</dc:language>
  <cp:lastModifiedBy/>
  <dcterms:modified xsi:type="dcterms:W3CDTF">2026-04-26T19:13:16Z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